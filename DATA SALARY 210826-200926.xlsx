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mikiprecision-my.sharepoint.com/personal/jittrakan_katprasat_orbray_co_th/Documents/ORBRAY 20523/20523 JUNIOR/EXCEL/"/>
    </mc:Choice>
  </mc:AlternateContent>
  <xr:revisionPtr revIDLastSave="808" documentId="8_{38E1FCA8-AA7B-4F74-B059-DBEA1FF601F2}" xr6:coauthVersionLast="47" xr6:coauthVersionMax="47" xr10:uidLastSave="{C1ED70A1-A14F-4C4F-8BBD-A36776CCE74A}"/>
  <bookViews>
    <workbookView xWindow="-120" yWindow="-120" windowWidth="29040" windowHeight="15720" xr2:uid="{255BF380-3389-4160-B93B-98937732B298}"/>
  </bookViews>
  <sheets>
    <sheet name="IN-OUT" sheetId="7" r:id="rId1"/>
    <sheet name="CAL SALARY" sheetId="15" r:id="rId2"/>
  </sheets>
  <externalReferences>
    <externalReference r:id="rId3"/>
  </externalReferences>
  <definedNames>
    <definedName name="CalendarYear">[1]January!$AH$4</definedName>
    <definedName name="ColumnTitle13">[1]!EmployeeName[[#Headers],[Employee Names]]</definedName>
    <definedName name="Employee_Absence_Title">[1]January!$B$1</definedName>
    <definedName name="KeyCustom1">[1]January!$N$2</definedName>
    <definedName name="KeyCustom2">[1]January!$R$2</definedName>
    <definedName name="KeyPersonal">[1]January!$G$2</definedName>
    <definedName name="KeySick">[1]January!$K$2</definedName>
    <definedName name="KeyVacation">[1]January!$C$2</definedName>
    <definedName name="Title1">[1]!January[[#Headers],[Employee Name]]</definedName>
    <definedName name="Title10">[1]!October[[#Headers],[Employee Name]]</definedName>
    <definedName name="Title11">[1]!November[[#Headers],[Employee Name]]</definedName>
    <definedName name="Title12">[1]!December[[#Headers],[Employee Name]]</definedName>
    <definedName name="Title2">[1]!February[[#Headers],[Employee Name]]</definedName>
    <definedName name="Title3">[1]!March[[#Headers],[Employee Name]]</definedName>
    <definedName name="Title4">[1]!April[[#Headers],[Employee Name]]</definedName>
    <definedName name="Title5">[1]!May[[#Headers],[Employee Name]]</definedName>
    <definedName name="Title6">#REF!</definedName>
    <definedName name="Title7">[1]!July[[#Headers],[Employee Name]]</definedName>
    <definedName name="Title8">[1]!August[[#Headers],[Employee Name]]</definedName>
    <definedName name="Title9">[1]!September[[#Headers],[Employee Name]]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7" l="1" a="1"/>
  <c r="E15" i="7"/>
  <c r="E17" i="7" a="1"/>
  <c r="E17" i="7" s="1"/>
  <c r="E16" i="7" a="1"/>
  <c r="E16" i="7" s="1"/>
  <c r="E14" i="7" a="1"/>
  <c r="E14" i="7" s="1"/>
  <c r="E34" i="7" a="1"/>
  <c r="E34" i="7" s="1"/>
  <c r="E33" i="7" a="1"/>
  <c r="E33" i="7" s="1"/>
  <c r="E32" i="7" a="1"/>
  <c r="E32" i="7" s="1"/>
  <c r="E31" i="7" a="1"/>
  <c r="E31" i="7" s="1"/>
  <c r="E30" i="7" a="1"/>
  <c r="E30" i="7" s="1"/>
  <c r="E29" i="7" a="1"/>
  <c r="E29" i="7" s="1"/>
  <c r="E28" i="7" a="1"/>
  <c r="E28" i="7" s="1"/>
  <c r="E25" i="7" a="1"/>
  <c r="E25" i="7" s="1"/>
  <c r="E24" i="7" a="1"/>
  <c r="E24" i="7" s="1"/>
  <c r="E23" i="7" a="1"/>
  <c r="E23" i="7" s="1"/>
  <c r="E22" i="7" a="1"/>
  <c r="E22" i="7" s="1"/>
  <c r="E21" i="7" a="1"/>
  <c r="E21" i="7" s="1"/>
  <c r="E18" i="7" a="1"/>
  <c r="E18" i="7" s="1"/>
  <c r="E12" i="7" a="1"/>
  <c r="E12" i="7" s="1"/>
  <c r="E11" i="7" a="1"/>
  <c r="E11" i="7" s="1"/>
  <c r="E10" i="7" a="1"/>
  <c r="E10" i="7" s="1"/>
  <c r="E9" i="7" a="1"/>
  <c r="E9" i="7" s="1"/>
  <c r="E8" i="7" a="1"/>
  <c r="E8" i="7" s="1"/>
  <c r="E7" i="7" a="1"/>
  <c r="E7" i="7" s="1"/>
  <c r="E6" i="7" a="1"/>
  <c r="E6" i="7" s="1"/>
  <c r="E4" i="7" a="1"/>
  <c r="E4" i="7"/>
  <c r="J34" i="7"/>
  <c r="J33" i="7"/>
  <c r="J32" i="7"/>
  <c r="J31" i="7"/>
  <c r="J30" i="7"/>
  <c r="J29" i="7"/>
  <c r="J28" i="7"/>
  <c r="J27" i="7"/>
  <c r="J25" i="7"/>
  <c r="J24" i="7"/>
  <c r="J23" i="7"/>
  <c r="J22" i="7"/>
  <c r="J21" i="7"/>
  <c r="J20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4" i="7"/>
  <c r="J35" i="7" s="1"/>
  <c r="H35" i="7"/>
  <c r="B2" i="15" s="1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F2" i="15"/>
  <c r="K2" i="15" s="1"/>
  <c r="F35" i="7"/>
  <c r="G35" i="7"/>
  <c r="Q2" i="15"/>
  <c r="K35" i="7"/>
  <c r="L35" i="7"/>
  <c r="I35" i="7" l="1"/>
  <c r="D2" i="15" s="1"/>
  <c r="E35" i="7"/>
  <c r="G2" i="15" s="1"/>
  <c r="C2" i="15"/>
  <c r="E2" i="15" s="1"/>
  <c r="M2" i="15" l="1"/>
  <c r="J2" i="15"/>
  <c r="I2" i="15"/>
  <c r="P2" i="15" s="1"/>
  <c r="H2" i="15"/>
  <c r="O2" i="15" s="1"/>
  <c r="N2" i="15"/>
  <c r="A4" i="1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<sst xmlns="http://schemas.openxmlformats.org/spreadsheetml/2006/main" count="30" uniqueCount="30">
  <si>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August (21/08/2026) - September (20/09/2026)</t>
  </si>
  <si>
    <t>เวลาเข้างาน</t>
  </si>
  <si>
    <t>เวลาออกงาน</t>
  </si>
  <si>
    <t>OT</t>
  </si>
  <si>
    <t>Holiday</t>
  </si>
  <si>
    <t>OT Holiday</t>
  </si>
  <si>
    <t>จำนวนวันทำงาน</t>
  </si>
  <si>
    <t>จำนวนวันที่มา</t>
  </si>
  <si>
    <t>จำนวนวันโอที</t>
  </si>
  <si>
    <t>จน OT 1</t>
  </si>
  <si>
    <t>จน OT 3</t>
  </si>
  <si>
    <t>:</t>
  </si>
  <si>
    <t>เงินเดือน</t>
  </si>
  <si>
    <t>จำนวนวัน
(ในเดือนนี้)</t>
  </si>
  <si>
    <t>เงินที่ได้ต่อวัน</t>
  </si>
  <si>
    <t>จำนวนวัน
(ที่มาทำงาน)</t>
  </si>
  <si>
    <t>เงินที่ได้ทั้งหมด
(ไม่รวมโอที)</t>
  </si>
  <si>
    <t>จำนวนวัน
(ทำโอที)</t>
  </si>
  <si>
    <t>จำนวนชั่วโมง
(OT*1.5)</t>
  </si>
  <si>
    <t>จำนวนชั่วโมง
(OT*1)</t>
  </si>
  <si>
    <t>จำนวนชั่วโมง
(OT*3)</t>
  </si>
  <si>
    <t>ค่าอาหาร</t>
  </si>
  <si>
    <t>อาหารโอที</t>
  </si>
  <si>
    <t>เงินช่วยเหลือ
ค่าเดินทาง</t>
  </si>
  <si>
    <t>เบี้ยขยัน</t>
  </si>
  <si>
    <t>OT*1.5</t>
  </si>
  <si>
    <t>OT*1</t>
  </si>
  <si>
    <t>OT*3</t>
  </si>
  <si>
    <t>ประกันสังคม</t>
  </si>
  <si>
    <t>เงินที่ได้ทั้งหมด
(ในเดือนนี้)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</si>
</sst>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409]h:mm\ AM/PM;@"/>
    <numFmt numFmtId="188" formatCode="0.0"/>
  </numFmts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F9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87" fontId="1" fillId="6" borderId="1" xfId="0" applyNumberFormat="1" applyFont="1" applyFill="1" applyBorder="1" applyAlignment="1">
      <alignment horizontal="center" vertical="center"/>
    </xf>
    <xf numFmtId="187" fontId="1" fillId="3" borderId="1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87" fontId="1" fillId="3" borderId="2" xfId="0" applyNumberFormat="1" applyFont="1" applyFill="1" applyBorder="1" applyAlignment="1">
      <alignment horizontal="center" vertical="center"/>
    </xf>
    <xf numFmtId="187" fontId="1" fillId="0" borderId="1" xfId="0" applyNumberFormat="1" applyFont="1" applyBorder="1" applyAlignment="1">
      <alignment horizontal="center" vertical="center"/>
    </xf>
    <xf numFmtId="187" fontId="1" fillId="0" borderId="7" xfId="0" applyNumberFormat="1" applyFont="1" applyBorder="1" applyAlignment="1">
      <alignment horizontal="center" vertical="center"/>
    </xf>
    <xf numFmtId="187" fontId="1" fillId="0" borderId="6" xfId="0" applyNumberFormat="1" applyFont="1" applyBorder="1" applyAlignment="1">
      <alignment horizontal="center" vertical="center"/>
    </xf>
    <xf numFmtId="187" fontId="1" fillId="5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88" fontId="1" fillId="0" borderId="1" xfId="0" applyNumberFormat="1" applyFont="1" applyBorder="1" applyAlignment="1">
      <alignment horizontal="center" vertical="center"/>
    </xf>
    <xf numFmtId="188" fontId="1" fillId="3" borderId="1" xfId="0" applyNumberFormat="1" applyFont="1" applyFill="1" applyBorder="1" applyAlignment="1">
      <alignment horizontal="center" vertical="center"/>
    </xf>
    <xf numFmtId="188" fontId="1" fillId="5" borderId="1" xfId="0" applyNumberFormat="1" applyFont="1" applyFill="1" applyBorder="1" applyAlignment="1">
      <alignment horizontal="center" vertical="center"/>
    </xf>
    <xf numFmtId="188" fontId="1" fillId="0" borderId="6" xfId="0" applyNumberFormat="1" applyFont="1" applyBorder="1" applyAlignment="1">
      <alignment horizontal="center" vertical="center"/>
    </xf>
    <xf numFmtId="188" fontId="1" fillId="3" borderId="2" xfId="0" applyNumberFormat="1" applyFont="1" applyFill="1" applyBorder="1" applyAlignment="1">
      <alignment horizontal="center" vertical="center"/>
    </xf>
    <xf numFmtId="188" fontId="0" fillId="6" borderId="2" xfId="0" applyNumberFormat="1" applyFill="1" applyBorder="1" applyAlignment="1">
      <alignment horizontal="center" vertical="center"/>
    </xf>
    <xf numFmtId="187" fontId="1" fillId="5" borderId="7" xfId="0" applyNumberFormat="1" applyFont="1" applyFill="1" applyBorder="1" applyAlignment="1">
      <alignment horizontal="center" vertical="center"/>
    </xf>
    <xf numFmtId="188" fontId="1" fillId="5" borderId="7" xfId="0" applyNumberFormat="1" applyFont="1" applyFill="1" applyBorder="1" applyAlignment="1">
      <alignment horizontal="center" vertical="center"/>
    </xf>
    <xf numFmtId="188" fontId="0" fillId="5" borderId="6" xfId="0" applyNumberForma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Normal" xfId="0" builtinId="0"/>
    <cellStyle name="Normal 2" xfId="1" xr:uid="{95FA9506-95A6-4E34-916A-017337EDAD71}"/>
  </cellStyles>
  <dxfs count="0"/>
  <tableStyles count="0" defaultTableStyle="TableStyleMedium2" defaultPivotStyle="PivotStyleLight16"/>
  <colors>
    <mruColors>
      <color rgb="FFFFAF9F"/>
      <color rgb="FFE2CAFE"/>
      <color rgb="FFFF7C80"/>
      <color rgb="FFF6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mployee%20absence%20schedul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Employee absence sche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5A04-CF8C-4A2D-8FD7-E6982C395A77}">
  <dimension ref="A2:L35"/>
  <sheetViews>
    <sheetView tabSelected="1" workbookViewId="0">
      <selection activeCell="D12" sqref="D12:E12"/>
    </sheetView>
  </sheetViews>
  <sheetFormatPr defaultColWidth="20.7109375" defaultRowHeight="18" customHeight="1"/>
  <cols>
    <col min="1" max="7" width="20.7109375" style="1"/>
    <col min="8" max="10" width="20.7109375" style="1" customWidth="1"/>
    <col min="11" max="12" width="9.7109375" style="1" customWidth="1"/>
    <col min="13" max="16384" width="20.7109375" style="1"/>
  </cols>
  <sheetData>
    <row r="2" spans="2:12" ht="18" customHeight="1">
      <c r="B2" s="36" t="s">
        <v>0</v>
      </c>
      <c r="C2" s="37"/>
      <c r="D2" s="37"/>
      <c r="E2" s="37"/>
      <c r="F2" s="37"/>
      <c r="G2" s="38"/>
    </row>
    <row r="3" spans="2:12" ht="18" customHeight="1">
      <c r="B3" s="4"/>
      <c r="C3" s="5" t="s">
        <v>1</v>
      </c>
      <c r="D3" s="5" t="s">
        <v>2</v>
      </c>
      <c r="E3" s="6" t="s">
        <v>3</v>
      </c>
      <c r="F3" s="6" t="s">
        <v>4</v>
      </c>
      <c r="G3" s="3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</row>
    <row r="4" spans="2:12" ht="18" customHeight="1">
      <c r="B4" s="9">
        <v>46255</v>
      </c>
      <c r="C4" s="22">
        <v>0.32916666666666666</v>
      </c>
      <c r="D4" s="22">
        <v>0.70833333333333337</v>
      </c>
      <c r="E4" s="27" cm="1">
        <f t="array" ref="E4">_xlfn.SWITCH(MOD(D4,1),TIME(17,0,0),0,TIME(17,30,0),0.5,TIME(17,50,0),0.5,TIME(18,0,0),1,TIME(18,20,0),1,TIME(18,50,0),1.5,TIME(19,20,0),2,TIME(19,50,0),2.5,0)</f>
        <v>0</v>
      </c>
      <c r="F4" s="10"/>
      <c r="G4" s="10"/>
      <c r="H4" s="26">
        <v>1</v>
      </c>
      <c r="I4" s="26">
        <f>IF(ISNUMBER(C4),1,0)</f>
        <v>1</v>
      </c>
      <c r="J4" s="26">
        <f>IF(AND(ISNUMBER(E4),E4&gt;=1),1,0)</f>
        <v>0</v>
      </c>
    </row>
    <row r="5" spans="2:12" ht="18" customHeight="1">
      <c r="B5" s="9">
        <v>46256</v>
      </c>
      <c r="C5" s="18">
        <v>0.33124999999999999</v>
      </c>
      <c r="D5" s="18">
        <v>0.80555555555555558</v>
      </c>
      <c r="E5" s="28">
        <v>0</v>
      </c>
      <c r="F5" s="17">
        <v>8</v>
      </c>
      <c r="G5" s="17">
        <v>2</v>
      </c>
      <c r="H5" s="26">
        <v>1</v>
      </c>
      <c r="I5" s="26">
        <f t="shared" ref="I5:I34" si="0">IF(ISNUMBER(C5),1,0)</f>
        <v>1</v>
      </c>
      <c r="J5" s="26">
        <v>1</v>
      </c>
      <c r="K5" s="1">
        <v>1</v>
      </c>
      <c r="L5" s="1">
        <v>1</v>
      </c>
    </row>
    <row r="6" spans="2:12" ht="18" customHeight="1">
      <c r="B6" s="9">
        <v>46257</v>
      </c>
      <c r="C6" s="19"/>
      <c r="D6" s="19"/>
      <c r="E6" s="28" cm="1">
        <f t="array" ref="E6">_xlfn.SWITCH(MOD(D6,1),TIME(17,0,0),0,TIME(17,30,0),0.5,TIME(17,50,0),0.5,TIME(18,0,0),1,TIME(18,20,0),1,TIME(18,50,0),1.5,TIME(19,20,0),2,TIME(19,50,0),2.5,0)</f>
        <v>0</v>
      </c>
      <c r="F6" s="10"/>
      <c r="G6" s="10"/>
      <c r="H6" s="26">
        <v>0</v>
      </c>
      <c r="I6" s="26">
        <f t="shared" si="0"/>
        <v>0</v>
      </c>
      <c r="J6" s="26">
        <f t="shared" ref="J6:J34" si="1">IF(AND(ISNUMBER(E6),E6&gt;=1),1,0)</f>
        <v>0</v>
      </c>
    </row>
    <row r="7" spans="2:12" ht="18" customHeight="1">
      <c r="B7" s="9">
        <v>46258</v>
      </c>
      <c r="C7" s="22">
        <v>0.3298611111111111</v>
      </c>
      <c r="D7" s="25">
        <v>0.76388888888888884</v>
      </c>
      <c r="E7" s="29" cm="1">
        <f t="array" ref="E7">_xlfn.SWITCH(MOD(D7,1),TIME(17,0,0),0,TIME(17,30,0),0.5,TIME(17,50,0),0.5,TIME(18,0,0),1,TIME(18,20,0),1,TIME(18,50,0),1.5,TIME(19,20,0),2,TIME(19,50,0),2.5,0)</f>
        <v>1</v>
      </c>
      <c r="F7" s="10"/>
      <c r="G7" s="10"/>
      <c r="H7" s="26">
        <v>1</v>
      </c>
      <c r="I7" s="26">
        <f t="shared" si="0"/>
        <v>1</v>
      </c>
      <c r="J7" s="26">
        <f t="shared" si="1"/>
        <v>1</v>
      </c>
    </row>
    <row r="8" spans="2:12" ht="18" customHeight="1">
      <c r="B8" s="9">
        <v>46259</v>
      </c>
      <c r="C8" s="22">
        <v>0.32916666666666666</v>
      </c>
      <c r="D8" s="22">
        <v>0.70833333333333337</v>
      </c>
      <c r="E8" s="27" cm="1">
        <f t="array" ref="E8">_xlfn.SWITCH(MOD(D8,1),TIME(17,0,0),0,TIME(17,30,0),0.5,TIME(17,50,0),0.5,TIME(18,0,0),1,TIME(18,20,0),1,TIME(18,50,0),1.5,TIME(19,20,0),2,TIME(19,50,0),2.5,0)</f>
        <v>0</v>
      </c>
      <c r="F8" s="10"/>
      <c r="G8" s="10"/>
      <c r="H8" s="26">
        <v>1</v>
      </c>
      <c r="I8" s="26">
        <f t="shared" si="0"/>
        <v>1</v>
      </c>
      <c r="J8" s="26">
        <f t="shared" si="1"/>
        <v>0</v>
      </c>
    </row>
    <row r="9" spans="2:12" ht="18" customHeight="1">
      <c r="B9" s="9">
        <v>46260</v>
      </c>
      <c r="C9" s="22">
        <v>0.32916666666666666</v>
      </c>
      <c r="D9" s="25">
        <v>0.76388888888888884</v>
      </c>
      <c r="E9" s="29" cm="1">
        <f t="array" ref="E9">_xlfn.SWITCH(MOD(D9,1),TIME(17,0,0),0,TIME(17,30,0),0.5,TIME(17,50,0),0.5,TIME(18,0,0),1,TIME(18,20,0),1,TIME(18,50,0),1.5,TIME(19,20,0),2,TIME(19,50,0),2.5,0)</f>
        <v>1</v>
      </c>
      <c r="F9" s="10"/>
      <c r="G9" s="10"/>
      <c r="H9" s="26">
        <v>1</v>
      </c>
      <c r="I9" s="26">
        <f t="shared" si="0"/>
        <v>1</v>
      </c>
      <c r="J9" s="26">
        <f t="shared" si="1"/>
        <v>1</v>
      </c>
    </row>
    <row r="10" spans="2:12" ht="18" customHeight="1">
      <c r="B10" s="9">
        <v>46261</v>
      </c>
      <c r="C10" s="22">
        <v>0.32847222222222222</v>
      </c>
      <c r="D10" s="25">
        <v>0.80555555555555558</v>
      </c>
      <c r="E10" s="29" cm="1">
        <f t="array" ref="E10">_xlfn.SWITCH(MOD(D10,1),TIME(17,0,0),0,TIME(17,30,0),0.5,TIME(17,50,0),0.5,TIME(18,0,0),1,TIME(18,20,0),1,TIME(18,50,0),1.5,TIME(19,20,0),2,TIME(19,50,0),2.5,0)</f>
        <v>2</v>
      </c>
      <c r="F10" s="10"/>
      <c r="G10" s="10"/>
      <c r="H10" s="26">
        <v>1</v>
      </c>
      <c r="I10" s="26">
        <f t="shared" si="0"/>
        <v>1</v>
      </c>
      <c r="J10" s="26">
        <f t="shared" si="1"/>
        <v>1</v>
      </c>
    </row>
    <row r="11" spans="2:12" ht="18" customHeight="1">
      <c r="B11" s="9">
        <v>46262</v>
      </c>
      <c r="C11" s="22">
        <v>0.32916666666666666</v>
      </c>
      <c r="D11" s="22">
        <v>0.70833333333333337</v>
      </c>
      <c r="E11" s="27" cm="1">
        <f t="array" ref="E11">_xlfn.SWITCH(MOD(D11,1),TIME(17,0,0),0,TIME(17,30,0),0.5,TIME(17,50,0),0.5,TIME(18,0,0),1,TIME(18,20,0),1,TIME(18,50,0),1.5,TIME(19,20,0),2,TIME(19,50,0),2.5,0)</f>
        <v>0</v>
      </c>
      <c r="F11" s="10"/>
      <c r="G11" s="10"/>
      <c r="H11" s="26">
        <v>1</v>
      </c>
      <c r="I11" s="26">
        <f t="shared" si="0"/>
        <v>1</v>
      </c>
      <c r="J11" s="26">
        <f t="shared" si="1"/>
        <v>0</v>
      </c>
    </row>
    <row r="12" spans="2:12" ht="18" customHeight="1">
      <c r="B12" s="9">
        <v>46263</v>
      </c>
      <c r="C12" s="22">
        <v>0.32916666666666666</v>
      </c>
      <c r="D12" s="25">
        <v>0.74305555555555558</v>
      </c>
      <c r="E12" s="29" cm="1">
        <f t="array" ref="E12">_xlfn.SWITCH(MOD(D12,1),TIME(17,0,0),0,TIME(17,30,0),0.5,TIME(17,50,0),0.5,TIME(18,0,0),1,TIME(18,20,0),1,TIME(18,50,0),1.5,TIME(19,20,0),2,TIME(19,50,0),2.5,0)</f>
        <v>0.5</v>
      </c>
      <c r="F12" s="10"/>
      <c r="G12" s="10"/>
      <c r="H12" s="26">
        <v>1</v>
      </c>
      <c r="I12" s="26">
        <f t="shared" si="0"/>
        <v>1</v>
      </c>
      <c r="J12" s="26">
        <f t="shared" si="1"/>
        <v>0</v>
      </c>
    </row>
    <row r="13" spans="2:12" ht="18" customHeight="1">
      <c r="B13" s="9">
        <v>46264</v>
      </c>
      <c r="C13" s="19"/>
      <c r="D13" s="19"/>
      <c r="E13" s="28"/>
      <c r="F13" s="10"/>
      <c r="G13" s="10"/>
      <c r="H13" s="26">
        <v>0</v>
      </c>
      <c r="I13" s="26">
        <f t="shared" si="0"/>
        <v>0</v>
      </c>
      <c r="J13" s="26">
        <f t="shared" si="1"/>
        <v>0</v>
      </c>
    </row>
    <row r="14" spans="2:12" ht="18" customHeight="1">
      <c r="B14" s="9">
        <v>46265</v>
      </c>
      <c r="C14" s="22">
        <v>0.33124999999999999</v>
      </c>
      <c r="D14" s="25">
        <v>0.80555555555555558</v>
      </c>
      <c r="E14" s="29" cm="1">
        <f t="array" ref="E14">_xlfn.SWITCH(MOD(D14,1),TIME(17,0,0),0,TIME(17,30,0),0.5,TIME(17,50,0),0.5,TIME(18,0,0),1,TIME(18,20,0),1,TIME(18,50,0),1.5,TIME(19,20,0),2,TIME(19,50,0),2.5,0)</f>
        <v>2</v>
      </c>
      <c r="F14" s="10"/>
      <c r="G14" s="10"/>
      <c r="H14" s="26">
        <v>1</v>
      </c>
      <c r="I14" s="26">
        <f t="shared" si="0"/>
        <v>1</v>
      </c>
      <c r="J14" s="26">
        <f t="shared" si="1"/>
        <v>1</v>
      </c>
    </row>
    <row r="15" spans="2:12" ht="18" customHeight="1">
      <c r="B15" s="9">
        <v>46266</v>
      </c>
      <c r="C15" s="22">
        <v>0.3298611111111111</v>
      </c>
      <c r="D15" s="22">
        <v>0.70833333333333337</v>
      </c>
      <c r="E15" s="27" cm="1">
        <f t="array" ref="E15">_xlfn.SWITCH(MOD(D15,1),TIME(17,0,0),0,TIME(17,30,0),0.5,TIME(17,50,0),0.5,TIME(18,0,0),1,TIME(18,20,0),1,TIME(18,50,0),1.5,TIME(19,20,0),2,TIME(19,50,0),2.5,0)</f>
        <v>0</v>
      </c>
      <c r="F15" s="10"/>
      <c r="G15" s="10"/>
      <c r="H15" s="26">
        <v>1</v>
      </c>
      <c r="I15" s="26">
        <f t="shared" si="0"/>
        <v>1</v>
      </c>
      <c r="J15" s="26">
        <f t="shared" si="1"/>
        <v>0</v>
      </c>
    </row>
    <row r="16" spans="2:12" ht="18" customHeight="1">
      <c r="B16" s="9">
        <v>46267</v>
      </c>
      <c r="C16" s="22">
        <v>0.3298611111111111</v>
      </c>
      <c r="D16" s="25">
        <v>0.80555555555555558</v>
      </c>
      <c r="E16" s="29" cm="1">
        <f t="array" ref="E16">_xlfn.SWITCH(MOD(D16,1),TIME(17,0,0),0,TIME(17,30,0),0.5,TIME(17,50,0),0.5,TIME(18,0,0),1,TIME(18,20,0),1,TIME(18,50,0),1.5,TIME(19,20,0),2,TIME(19,50,0),2.5,0)</f>
        <v>2</v>
      </c>
      <c r="F16" s="10"/>
      <c r="G16" s="10"/>
      <c r="H16" s="26">
        <v>1</v>
      </c>
      <c r="I16" s="26">
        <f t="shared" si="0"/>
        <v>1</v>
      </c>
      <c r="J16" s="26">
        <f t="shared" si="1"/>
        <v>1</v>
      </c>
    </row>
    <row r="17" spans="2:12" ht="18" customHeight="1">
      <c r="B17" s="9">
        <v>46268</v>
      </c>
      <c r="C17" s="22">
        <v>0.3298611111111111</v>
      </c>
      <c r="D17" s="25">
        <v>0.76388888888888884</v>
      </c>
      <c r="E17" s="29" cm="1">
        <f t="array" ref="E17">_xlfn.SWITCH(MOD(D17,1),TIME(17,0,0),0,TIME(17,30,0),0.5,TIME(17,50,0),0.5,TIME(18,0,0),1,TIME(18,20,0),1,TIME(18,50,0),1.5,TIME(19,20,0),2,TIME(19,50,0),2.5,0)</f>
        <v>1</v>
      </c>
      <c r="F17" s="10"/>
      <c r="G17" s="10"/>
      <c r="H17" s="26">
        <v>1</v>
      </c>
      <c r="I17" s="26">
        <f t="shared" si="0"/>
        <v>1</v>
      </c>
      <c r="J17" s="26">
        <f t="shared" si="1"/>
        <v>1</v>
      </c>
    </row>
    <row r="18" spans="2:12" ht="18" customHeight="1">
      <c r="B18" s="9">
        <v>46269</v>
      </c>
      <c r="C18" s="22">
        <v>0.3298611111111111</v>
      </c>
      <c r="D18" s="22">
        <v>0.70833333333333337</v>
      </c>
      <c r="E18" s="27" cm="1">
        <f t="array" ref="E18">_xlfn.SWITCH(MOD(D18,1),TIME(17,0,0),0,TIME(17,30,0),0.5,TIME(17,50,0),0.5,TIME(18,0,0),1,TIME(18,20,0),1,TIME(18,50,0),1.5,TIME(19,20,0),2,TIME(19,50,0),2.5,0)</f>
        <v>0</v>
      </c>
      <c r="F18" s="10"/>
      <c r="G18" s="10"/>
      <c r="H18" s="26">
        <v>1</v>
      </c>
      <c r="I18" s="26">
        <f t="shared" si="0"/>
        <v>1</v>
      </c>
      <c r="J18" s="26">
        <f t="shared" si="1"/>
        <v>0</v>
      </c>
    </row>
    <row r="19" spans="2:12" ht="18" customHeight="1">
      <c r="B19" s="9">
        <v>46270</v>
      </c>
      <c r="C19" s="18">
        <v>0.3298611111111111</v>
      </c>
      <c r="D19" s="18">
        <v>0.80555555555555558</v>
      </c>
      <c r="E19" s="28">
        <v>0</v>
      </c>
      <c r="F19" s="17">
        <v>8</v>
      </c>
      <c r="G19" s="17">
        <v>2</v>
      </c>
      <c r="H19" s="26">
        <v>1</v>
      </c>
      <c r="I19" s="26">
        <f t="shared" si="0"/>
        <v>1</v>
      </c>
      <c r="J19" s="26">
        <v>1</v>
      </c>
      <c r="K19" s="1">
        <v>1</v>
      </c>
      <c r="L19" s="1">
        <v>1</v>
      </c>
    </row>
    <row r="20" spans="2:12" ht="18" customHeight="1">
      <c r="B20" s="9">
        <v>46271</v>
      </c>
      <c r="C20" s="19"/>
      <c r="D20" s="19"/>
      <c r="E20" s="28"/>
      <c r="F20" s="10"/>
      <c r="G20" s="10"/>
      <c r="H20" s="26">
        <v>0</v>
      </c>
      <c r="I20" s="26">
        <f t="shared" si="0"/>
        <v>0</v>
      </c>
      <c r="J20" s="26">
        <f t="shared" si="1"/>
        <v>0</v>
      </c>
    </row>
    <row r="21" spans="2:12" ht="18" customHeight="1">
      <c r="B21" s="9">
        <v>46272</v>
      </c>
      <c r="C21" s="22">
        <v>0.3298611111111111</v>
      </c>
      <c r="D21" s="25">
        <v>0.80555555555555558</v>
      </c>
      <c r="E21" s="29" cm="1">
        <f t="array" ref="E21">_xlfn.SWITCH(MOD(D21,1),TIME(17,0,0),0,TIME(17,30,0),0.5,TIME(17,50,0),0.5,TIME(18,0,0),1,TIME(18,20,0),1,TIME(18,50,0),1.5,TIME(19,20,0),2,TIME(19,50,0),2.5,0)</f>
        <v>2</v>
      </c>
      <c r="F21" s="10"/>
      <c r="G21" s="10"/>
      <c r="H21" s="26">
        <v>1</v>
      </c>
      <c r="I21" s="26">
        <f t="shared" si="0"/>
        <v>1</v>
      </c>
      <c r="J21" s="26">
        <f t="shared" si="1"/>
        <v>1</v>
      </c>
    </row>
    <row r="22" spans="2:12" ht="18" customHeight="1">
      <c r="B22" s="9">
        <v>46273</v>
      </c>
      <c r="C22" s="22">
        <v>0.3298611111111111</v>
      </c>
      <c r="D22" s="22">
        <v>0.70833333333333337</v>
      </c>
      <c r="E22" s="27" cm="1">
        <f t="array" ref="E22">_xlfn.SWITCH(MOD(D22,1),TIME(17,0,0),0,TIME(17,30,0),0.5,TIME(17,50,0),0.5,TIME(18,0,0),1,TIME(18,20,0),1,TIME(18,50,0),1.5,TIME(19,20,0),2,TIME(19,50,0),2.5,0)</f>
        <v>0</v>
      </c>
      <c r="F22" s="10"/>
      <c r="G22" s="10"/>
      <c r="H22" s="26">
        <v>1</v>
      </c>
      <c r="I22" s="26">
        <f t="shared" si="0"/>
        <v>1</v>
      </c>
      <c r="J22" s="26">
        <f t="shared" si="1"/>
        <v>0</v>
      </c>
    </row>
    <row r="23" spans="2:12" ht="18" customHeight="1">
      <c r="B23" s="9">
        <v>46274</v>
      </c>
      <c r="C23" s="23">
        <v>0.3298611111111111</v>
      </c>
      <c r="D23" s="33">
        <v>0.80555555555555558</v>
      </c>
      <c r="E23" s="34" cm="1">
        <f t="array" ref="E23">_xlfn.SWITCH(MOD(D23,1),TIME(17,0,0),0,TIME(17,30,0),0.5,TIME(17,50,0),0.5,TIME(18,0,0),1,TIME(18,20,0),1,TIME(18,50,0),1.5,TIME(19,20,0),2,TIME(19,50,0),2.5,0)</f>
        <v>2</v>
      </c>
      <c r="F23" s="10"/>
      <c r="G23" s="10"/>
      <c r="H23" s="26">
        <v>1</v>
      </c>
      <c r="I23" s="26">
        <f t="shared" si="0"/>
        <v>1</v>
      </c>
      <c r="J23" s="26">
        <f t="shared" si="1"/>
        <v>1</v>
      </c>
    </row>
    <row r="24" spans="2:12" ht="18" customHeight="1">
      <c r="B24" s="9">
        <v>46275</v>
      </c>
      <c r="C24" s="22">
        <v>0.3298611111111111</v>
      </c>
      <c r="D24" s="25">
        <v>0.75</v>
      </c>
      <c r="E24" s="35" cm="1">
        <f t="array" ref="E24">_xlfn.SWITCH(MOD(D24,1),TIME(17,0,0),0,TIME(17,30,0),0.5,TIME(17,50,0),0.5,TIME(18,0,0),1,TIME(18,20,0),1,TIME(18,50,0),1.5,TIME(19,20,0),2,TIME(19,50,0),2.5,0)</f>
        <v>1</v>
      </c>
      <c r="F24" s="20"/>
      <c r="G24" s="10"/>
      <c r="H24" s="26">
        <v>1</v>
      </c>
      <c r="I24" s="26">
        <f t="shared" si="0"/>
        <v>1</v>
      </c>
      <c r="J24" s="26">
        <f t="shared" si="1"/>
        <v>1</v>
      </c>
    </row>
    <row r="25" spans="2:12" ht="18" customHeight="1">
      <c r="B25" s="9">
        <v>46276</v>
      </c>
      <c r="C25" s="24">
        <v>0.3298611111111111</v>
      </c>
      <c r="D25" s="24">
        <v>0.70833333333333337</v>
      </c>
      <c r="E25" s="30" cm="1">
        <f t="array" ref="E25">_xlfn.SWITCH(MOD(D25,1),TIME(17,0,0),0,TIME(17,30,0),0.5,TIME(17,50,0),0.5,TIME(18,0,0),1,TIME(18,20,0),1,TIME(18,50,0),1.5,TIME(19,20,0),2,TIME(19,50,0),2.5,0)</f>
        <v>0</v>
      </c>
      <c r="F25" s="20"/>
      <c r="G25" s="10"/>
      <c r="H25" s="26">
        <v>1</v>
      </c>
      <c r="I25" s="26">
        <f t="shared" si="0"/>
        <v>1</v>
      </c>
      <c r="J25" s="26">
        <f t="shared" si="1"/>
        <v>0</v>
      </c>
    </row>
    <row r="26" spans="2:12" ht="18" customHeight="1">
      <c r="B26" s="9">
        <v>46277</v>
      </c>
      <c r="C26" s="21"/>
      <c r="D26" s="21"/>
      <c r="E26" s="31"/>
      <c r="F26" s="10"/>
      <c r="G26" s="10"/>
      <c r="H26" s="26">
        <v>0</v>
      </c>
      <c r="I26" s="26">
        <f t="shared" si="0"/>
        <v>0</v>
      </c>
      <c r="J26" s="1">
        <v>0</v>
      </c>
    </row>
    <row r="27" spans="2:12" ht="18" customHeight="1">
      <c r="B27" s="9">
        <v>46278</v>
      </c>
      <c r="C27" s="19"/>
      <c r="D27" s="19"/>
      <c r="E27" s="28"/>
      <c r="F27" s="10"/>
      <c r="G27" s="10"/>
      <c r="H27" s="26">
        <v>0</v>
      </c>
      <c r="I27" s="26">
        <f t="shared" si="0"/>
        <v>0</v>
      </c>
      <c r="J27" s="26">
        <f t="shared" si="1"/>
        <v>0</v>
      </c>
      <c r="K27" s="26"/>
    </row>
    <row r="28" spans="2:12" ht="18" customHeight="1">
      <c r="B28" s="9">
        <v>46279</v>
      </c>
      <c r="C28" s="22">
        <v>0.3298611111111111</v>
      </c>
      <c r="D28" s="22">
        <v>0.80555555555555558</v>
      </c>
      <c r="E28" s="27" cm="1">
        <f t="array" ref="E28">_xlfn.SWITCH(MOD(D28,1),TIME(17,0,0),0,TIME(17,30,0),0.5,TIME(17,50,0),0.5,TIME(18,0,0),1,TIME(18,20,0),1,TIME(18,50,0),1.5,TIME(19,20,0),2,TIME(19,50,0),2.5,0)</f>
        <v>2</v>
      </c>
      <c r="F28" s="10"/>
      <c r="G28" s="10"/>
      <c r="H28" s="26">
        <v>1</v>
      </c>
      <c r="I28" s="26">
        <f t="shared" si="0"/>
        <v>1</v>
      </c>
      <c r="J28" s="26">
        <f t="shared" si="1"/>
        <v>1</v>
      </c>
    </row>
    <row r="29" spans="2:12" ht="18" customHeight="1">
      <c r="B29" s="9">
        <v>46280</v>
      </c>
      <c r="C29" s="22">
        <v>0.3298611111111111</v>
      </c>
      <c r="D29" s="22">
        <v>0.70833333333333337</v>
      </c>
      <c r="E29" s="27" cm="1">
        <f t="array" ref="E29">_xlfn.SWITCH(MOD(D29,1),TIME(17,0,0),0,TIME(17,30,0),0.5,TIME(17,50,0),0.5,TIME(18,0,0),1,TIME(18,20,0),1,TIME(18,50,0),1.5,TIME(19,20,0),2,TIME(19,50,0),2.5,0)</f>
        <v>0</v>
      </c>
      <c r="F29" s="10"/>
      <c r="G29" s="10"/>
      <c r="H29" s="26">
        <v>1</v>
      </c>
      <c r="I29" s="26">
        <f t="shared" si="0"/>
        <v>1</v>
      </c>
      <c r="J29" s="26">
        <f t="shared" si="1"/>
        <v>0</v>
      </c>
    </row>
    <row r="30" spans="2:12" ht="18" customHeight="1">
      <c r="B30" s="9">
        <v>46281</v>
      </c>
      <c r="C30" s="23">
        <v>0.3298611111111111</v>
      </c>
      <c r="D30" s="22">
        <v>0.80555555555555558</v>
      </c>
      <c r="E30" s="27" cm="1">
        <f t="array" ref="E30">_xlfn.SWITCH(MOD(D30,1),TIME(17,0,0),0,TIME(17,30,0),0.5,TIME(17,50,0),0.5,TIME(18,0,0),1,TIME(18,20,0),1,TIME(18,50,0),1.5,TIME(19,20,0),2,TIME(19,50,0),2.5,0)</f>
        <v>2</v>
      </c>
      <c r="F30" s="10"/>
      <c r="G30" s="10"/>
      <c r="H30" s="26">
        <v>1</v>
      </c>
      <c r="I30" s="26">
        <f t="shared" si="0"/>
        <v>1</v>
      </c>
      <c r="J30" s="26">
        <f t="shared" si="1"/>
        <v>1</v>
      </c>
    </row>
    <row r="31" spans="2:12" ht="18" customHeight="1">
      <c r="B31" s="9">
        <v>46282</v>
      </c>
      <c r="C31" s="22">
        <v>0.3298611111111111</v>
      </c>
      <c r="D31" s="22">
        <v>0.76388888888888884</v>
      </c>
      <c r="E31" s="27" cm="1">
        <f t="array" ref="E31">_xlfn.SWITCH(MOD(D31,1),TIME(17,0,0),0,TIME(17,30,0),0.5,TIME(17,50,0),0.5,TIME(18,0,0),1,TIME(18,20,0),1,TIME(18,50,0),1.5,TIME(19,20,0),2,TIME(19,50,0),2.5,0)</f>
        <v>1</v>
      </c>
      <c r="F31" s="10"/>
      <c r="G31" s="10"/>
      <c r="H31" s="26">
        <v>1</v>
      </c>
      <c r="I31" s="26">
        <f t="shared" si="0"/>
        <v>1</v>
      </c>
      <c r="J31" s="26">
        <f t="shared" si="1"/>
        <v>1</v>
      </c>
    </row>
    <row r="32" spans="2:12" ht="18" customHeight="1">
      <c r="B32" s="9">
        <v>46283</v>
      </c>
      <c r="C32" s="24">
        <v>0.3298611111111111</v>
      </c>
      <c r="D32" s="22">
        <v>0.70833333333333337</v>
      </c>
      <c r="E32" s="27" cm="1">
        <f t="array" ref="E32">_xlfn.SWITCH(MOD(D32,1),TIME(17,0,0),0,TIME(17,30,0),0.5,TIME(17,50,0),0.5,TIME(18,0,0),1,TIME(18,20,0),1,TIME(18,50,0),1.5,TIME(19,20,0),2,TIME(19,50,0),2.5,0)</f>
        <v>0</v>
      </c>
      <c r="F32" s="10"/>
      <c r="G32" s="10"/>
      <c r="H32" s="26">
        <v>1</v>
      </c>
      <c r="I32" s="26">
        <f t="shared" si="0"/>
        <v>1</v>
      </c>
      <c r="J32" s="26">
        <f t="shared" si="1"/>
        <v>0</v>
      </c>
    </row>
    <row r="33" spans="1:12" ht="18" customHeight="1">
      <c r="A33" s="1" t="s">
        <v>11</v>
      </c>
      <c r="B33" s="9">
        <v>46284</v>
      </c>
      <c r="C33" s="19"/>
      <c r="D33" s="19"/>
      <c r="E33" s="28" cm="1">
        <f t="array" ref="E33">_xlfn.SWITCH(MOD(D33,1),TIME(17,0,0),0,TIME(17,30,0),0.5,TIME(17,50,0),0.5,TIME(18,0,0),1,TIME(18,20,0),1,TIME(18,50,0),1.5,TIME(19,20,0),2,TIME(19,50,0),2.5,0)</f>
        <v>0</v>
      </c>
      <c r="F33" s="10"/>
      <c r="G33" s="10"/>
      <c r="H33" s="26">
        <v>0</v>
      </c>
      <c r="I33" s="26">
        <f t="shared" si="0"/>
        <v>0</v>
      </c>
      <c r="J33" s="26">
        <f t="shared" si="1"/>
        <v>0</v>
      </c>
    </row>
    <row r="34" spans="1:12" ht="18" customHeight="1">
      <c r="B34" s="9">
        <v>46285</v>
      </c>
      <c r="C34" s="19"/>
      <c r="D34" s="19"/>
      <c r="E34" s="28" cm="1">
        <f t="array" ref="E34">_xlfn.SWITCH(MOD(D34,1),TIME(17,0,0),0,TIME(17,30,0),0.5,TIME(17,50,0),0.5,TIME(18,0,0),1,TIME(18,20,0),1,TIME(18,50,0),1.5,TIME(19,20,0),2,TIME(19,50,0),2.5,0)</f>
        <v>0</v>
      </c>
      <c r="F34" s="10"/>
      <c r="G34" s="10"/>
      <c r="H34" s="26">
        <v>0</v>
      </c>
      <c r="I34" s="26">
        <f t="shared" si="0"/>
        <v>0</v>
      </c>
      <c r="J34" s="26">
        <f t="shared" si="1"/>
        <v>0</v>
      </c>
    </row>
    <row r="35" spans="1:12" ht="18" customHeight="1">
      <c r="E35" s="32">
        <f>SUM(E4:E34)</f>
        <v>19.5</v>
      </c>
      <c r="F35" s="13">
        <f>SUM(F4:F33)</f>
        <v>16</v>
      </c>
      <c r="G35" s="13">
        <f>SUM(G4:G33)</f>
        <v>4</v>
      </c>
      <c r="H35" s="26">
        <f>COUNTIF(H4:H34,1)</f>
        <v>24</v>
      </c>
      <c r="I35" s="26">
        <f>COUNTIF(I4:I34,1)</f>
        <v>24</v>
      </c>
      <c r="J35" s="26">
        <f>COUNTIF(J4:J34,1)</f>
        <v>14</v>
      </c>
      <c r="K35" s="1">
        <f>COUNT(K2:K33)</f>
        <v>2</v>
      </c>
      <c r="L35" s="1">
        <f>COUNT(L2:L33)</f>
        <v>2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EE2AC-62B6-46DB-95FD-DE57F7502E40}">
  <dimension ref="A1:Q4"/>
  <sheetViews>
    <sheetView workbookViewId="0">
      <selection activeCell="K2" sqref="K2"/>
    </sheetView>
  </sheetViews>
  <sheetFormatPr defaultColWidth="15.7109375" defaultRowHeight="19.899999999999999" customHeight="1"/>
  <cols>
    <col min="1" max="1" width="15.7109375" style="2"/>
    <col min="2" max="2" width="19.28515625" style="2" bestFit="1" customWidth="1"/>
    <col min="3" max="3" width="22.28515625" style="2" bestFit="1" customWidth="1"/>
    <col min="4" max="16384" width="15.7109375" style="2"/>
  </cols>
  <sheetData>
    <row r="1" spans="1:17" ht="34.9" customHeight="1">
      <c r="A1" s="8" t="s">
        <v>12</v>
      </c>
      <c r="B1" s="16" t="s">
        <v>13</v>
      </c>
      <c r="C1" s="12" t="s">
        <v>14</v>
      </c>
      <c r="D1" s="16" t="s">
        <v>15</v>
      </c>
      <c r="E1" s="16" t="s">
        <v>16</v>
      </c>
      <c r="F1" s="16" t="s">
        <v>17</v>
      </c>
      <c r="G1" s="16" t="s">
        <v>18</v>
      </c>
      <c r="H1" s="16" t="s">
        <v>19</v>
      </c>
      <c r="I1" s="16" t="s">
        <v>20</v>
      </c>
      <c r="J1" s="8" t="s">
        <v>21</v>
      </c>
      <c r="K1" s="8" t="s">
        <v>22</v>
      </c>
      <c r="L1" s="15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13" t="s">
        <v>28</v>
      </c>
    </row>
    <row r="2" spans="1:17" ht="19.899999999999999" customHeight="1">
      <c r="A2" s="11">
        <v>20000</v>
      </c>
      <c r="B2" s="7">
        <f>'IN-OUT'!H35</f>
        <v>24</v>
      </c>
      <c r="C2" s="7">
        <f>A2/B2</f>
        <v>833.33333333333337</v>
      </c>
      <c r="D2" s="7">
        <f>'IN-OUT'!I35</f>
        <v>24</v>
      </c>
      <c r="E2" s="11">
        <f>C2*D2</f>
        <v>20000</v>
      </c>
      <c r="F2" s="7">
        <f>COUNTIF('IN-OUT'!J4:J34,1)</f>
        <v>14</v>
      </c>
      <c r="G2" s="11">
        <f>'IN-OUT'!E35</f>
        <v>19.5</v>
      </c>
      <c r="H2" s="11">
        <f>'IN-OUT'!F35</f>
        <v>16</v>
      </c>
      <c r="I2" s="11">
        <f>'IN-OUT'!G35</f>
        <v>4</v>
      </c>
      <c r="J2" s="11">
        <f>20*D2</f>
        <v>480</v>
      </c>
      <c r="K2" s="11">
        <f>15*F2</f>
        <v>210</v>
      </c>
      <c r="L2" s="11">
        <v>1230</v>
      </c>
      <c r="M2" s="11" t="str">
        <f>IF(B2=D2, "650")</f>
        <v>650</v>
      </c>
      <c r="N2" s="7">
        <f>(A2/30/8)*(1.5*G2)</f>
        <v>2437.5</v>
      </c>
      <c r="O2" s="7">
        <f>(A2/30/8)*(1*H2)</f>
        <v>1333.3333333333333</v>
      </c>
      <c r="P2" s="11">
        <f>(A2/30/8)*(3*I2)</f>
        <v>1000</v>
      </c>
      <c r="Q2" s="11">
        <f>875</f>
        <v>875</v>
      </c>
    </row>
    <row r="3" spans="1:17" ht="34.9" customHeight="1">
      <c r="A3" s="14" t="s">
        <v>29</v>
      </c>
    </row>
    <row r="4" spans="1:17" ht="19.899999999999999" customHeight="1">
      <c r="A4" s="7">
        <f>J2+K2+L2+A2+M2-Q2+O2+P2+N2+E12</f>
        <v>26465.833333333332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8EDEF50F581D6D4595AF253194C5BC4A" ma:contentTypeVersion="10" ma:contentTypeDescription="สร้างเอกสารใหม่" ma:contentTypeScope="" ma:versionID="8f7022925f1037cba590e8e500da6a81">
  <xsd:schema xmlns:xsd="http://www.w3.org/2001/XMLSchema" xmlns:xs="http://www.w3.org/2001/XMLSchema" xmlns:p="http://schemas.microsoft.com/office/2006/metadata/properties" xmlns:ns3="4b3a05f7-289b-48f6-b7e3-819cc907e413" targetNamespace="http://schemas.microsoft.com/office/2006/metadata/properties" ma:root="true" ma:fieldsID="63a9d80d5eaee7d6e4c2b6842a27a6c2" ns3:_="">
    <xsd:import namespace="4b3a05f7-289b-48f6-b7e3-819cc907e4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3a05f7-289b-48f6-b7e3-819cc907e4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3a05f7-289b-48f6-b7e3-819cc907e413" xsi:nil="true"/>
  </documentManagement>
</p:properties>
</file>

<file path=customXml/itemProps1.xml><?xml version="1.0" encoding="utf-8"?>
<ds:datastoreItem xmlns:ds="http://schemas.openxmlformats.org/officeDocument/2006/customXml" ds:itemID="{8F59F795-B7A2-4FF7-AC39-207F5DCC1BE0}"/>
</file>

<file path=customXml/itemProps2.xml><?xml version="1.0" encoding="utf-8"?>
<ds:datastoreItem xmlns:ds="http://schemas.openxmlformats.org/officeDocument/2006/customXml" ds:itemID="{6692599C-A423-4CF3-8A7D-8F0130EC0F7C}"/>
</file>

<file path=customXml/itemProps3.xml><?xml version="1.0" encoding="utf-8"?>
<ds:datastoreItem xmlns:ds="http://schemas.openxmlformats.org/officeDocument/2006/customXml" ds:itemID="{8B1DF974-73F4-44D2-B8CB-A671814657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NAMIKI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Jittrakan Katprasat</dc:creator>
  <cp:keywords/>
  <dc:description/>
  <cp:lastModifiedBy>Jittrakan Katprasat</cp:lastModifiedBy>
  <cp:revision/>
  <dcterms:created xsi:type="dcterms:W3CDTF">2026-02-21T01:42:09Z</dcterms:created>
  <dcterms:modified xsi:type="dcterms:W3CDTF">2026-09-11T10:21:37Z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0x0101008EDEF50F581D6D4595AF253194C5BC4A</vt:lpwstr>
  </property>
  <property fmtid="{D5CDD505-2E9C-101B-9397-08002B2CF9AE}" pid="3" name="MSIP_Label_2a21f8de-9067-4374-92e1-9247006b2782_Enabled">
    <vt:lpwstr>true</vt:lpwstr>
  </property>
  <property fmtid="{D5CDD505-2E9C-101B-9397-08002B2CF9AE}" pid="4" name="MSIP_Label_2a21f8de-9067-4374-92e1-9247006b2782_SetDate">
    <vt:lpwstr>2026-03-07T02:04:04Z</vt:lpwstr>
  </property>
  <property fmtid="{D5CDD505-2E9C-101B-9397-08002B2CF9AE}" pid="5" name="MSIP_Label_2a21f8de-9067-4374-92e1-9247006b2782_Method">
    <vt:lpwstr>Standard</vt:lpwstr>
  </property>
  <property fmtid="{D5CDD505-2E9C-101B-9397-08002B2CF9AE}" pid="6" name="MSIP_Label_2a21f8de-9067-4374-92e1-9247006b2782_Name">
    <vt:lpwstr>defa4170-0d19-0005-0004-bc88714345d2</vt:lpwstr>
  </property>
  <property fmtid="{D5CDD505-2E9C-101B-9397-08002B2CF9AE}" pid="7" name="MSIP_Label_2a21f8de-9067-4374-92e1-9247006b2782_SiteId">
    <vt:lpwstr>8b26ef21-7590-431c-8616-fee7780bd491</vt:lpwstr>
  </property>
  <property fmtid="{D5CDD505-2E9C-101B-9397-08002B2CF9AE}" pid="8" name="MSIP_Label_2a21f8de-9067-4374-92e1-9247006b2782_ActionId">
    <vt:lpwstr>dc596233-8456-45a7-82ed-c2a3fffc2ca8</vt:lpwstr>
  </property>
  <property fmtid="{D5CDD505-2E9C-101B-9397-08002B2CF9AE}" pid="9" name="MSIP_Label_2a21f8de-9067-4374-92e1-9247006b2782_ContentBits">
    <vt:lpwstr>0</vt:lpwstr>
  </property>
  <property fmtid="{D5CDD505-2E9C-101B-9397-08002B2CF9AE}" pid="10" name="MSIP_Label_2a21f8de-9067-4374-92e1-9247006b2782_Tag">
    <vt:lpwstr>10, 3, 0, 2</vt:lpwstr>
  </property>
</Properties>
</file>